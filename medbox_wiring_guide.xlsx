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ring" sheetId="1" state="visible" r:id="rId3"/>
    <sheet name="Parts List" sheetId="2" state="visible" r:id="rId4"/>
    <sheet name="Setup Steps" sheetId="3" state="visible" r:id="rId5"/>
    <sheet name="Test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<sst xmlns="http://schemas.openxmlformats.org/spreadsheetml/2006/main" count="142" uniqueCount="117">
  <si>
    <t xml:space="preserve">MedBox - Wiring Table (ESP Pin's header)</t>
  </si>
  <si>
    <t xml:space="preserve">Do all wiring with USB unplugged. Use the 4x3 'ESP Pin's' header; labels are printed on the back of the board. GPIO2 is a boot pin.</t>
  </si>
  <si>
    <t xml:space="preserve">Component</t>
  </si>
  <si>
    <t xml:space="preserve">Pin / Lead</t>
  </si>
  <si>
    <t xml:space="preserve">Connects To</t>
  </si>
  <si>
    <t xml:space="preserve">Connection Type</t>
  </si>
  <si>
    <t xml:space="preserve">Notes</t>
  </si>
  <si>
    <t xml:space="preserve">Servo</t>
  </si>
  <si>
    <t xml:space="preserve">Signal (orange/yellow)</t>
  </si>
  <si>
    <t xml:space="preserve">GPIO12</t>
  </si>
  <si>
    <t xml:space="preserve">Direct</t>
  </si>
  <si>
    <t xml:space="preserve">Control signal</t>
  </si>
  <si>
    <t xml:space="preserve">Power (red)</t>
  </si>
  <si>
    <t xml:space="preserve">External 5V +</t>
  </si>
  <si>
    <t xml:space="preserve">Never use the board's 3.3V pin</t>
  </si>
  <si>
    <t xml:space="preserve">Ground (brown/black)</t>
  </si>
  <si>
    <t xml:space="preserve">External 5V - AND board GND</t>
  </si>
  <si>
    <t xml:space="preserve">Common ground is essential</t>
  </si>
  <si>
    <t xml:space="preserve">LED</t>
  </si>
  <si>
    <t xml:space="preserve">Long leg (+)</t>
  </si>
  <si>
    <t xml:space="preserve">GPIO2</t>
  </si>
  <si>
    <t xml:space="preserve">Via 220 ohm resistor</t>
  </si>
  <si>
    <t xml:space="preserve">Short leg (-)</t>
  </si>
  <si>
    <t xml:space="preserve">GND rail</t>
  </si>
  <si>
    <t xml:space="preserve">Active buzzer</t>
  </si>
  <si>
    <t xml:space="preserve">+</t>
  </si>
  <si>
    <t xml:space="preserve">GPIO16</t>
  </si>
  <si>
    <t xml:space="preserve">Direct (3.3V buzzer)</t>
  </si>
  <si>
    <t xml:space="preserve">If buzzer needs 5V: GPIO16 &gt; 1k ohm &gt; transistor base; emitter to GND; buzzer between external 5V and collector</t>
  </si>
  <si>
    <t xml:space="preserve">-</t>
  </si>
  <si>
    <t xml:space="preserve">Push button</t>
  </si>
  <si>
    <t xml:space="preserve">Leg 1</t>
  </si>
  <si>
    <t xml:space="preserve">GPIO4</t>
  </si>
  <si>
    <t xml:space="preserve">No resistor needed (internal pull-up in code)</t>
  </si>
  <si>
    <t xml:space="preserve">Leg 2</t>
  </si>
  <si>
    <t xml:space="preserve">Ground rail: connect board GND and external 5V supply negative to the same breadboard rail.</t>
  </si>
  <si>
    <t xml:space="preserve">MedBox - Parts List</t>
  </si>
  <si>
    <t xml:space="preserve">Tick off items as you gather them.</t>
  </si>
  <si>
    <t xml:space="preserve">Item</t>
  </si>
  <si>
    <t xml:space="preserve">Qty</t>
  </si>
  <si>
    <t xml:space="preserve">Purpose</t>
  </si>
  <si>
    <t xml:space="preserve">Have it?</t>
  </si>
  <si>
    <t xml:space="preserve">Servo motor (SG90 or similar)</t>
  </si>
  <si>
    <t xml:space="preserve">Dispensing mechanism</t>
  </si>
  <si>
    <t xml:space="preserve">Power from external 5V</t>
  </si>
  <si>
    <t xml:space="preserve">Dose alert indicator</t>
  </si>
  <si>
    <t xml:space="preserve">220 ohm resistor</t>
  </si>
  <si>
    <t xml:space="preserve">LED current limit</t>
  </si>
  <si>
    <t xml:space="preserve">Audible alert</t>
  </si>
  <si>
    <t xml:space="preserve">3.3V-compatible, or use transistor</t>
  </si>
  <si>
    <t xml:space="preserve">NPN transistor (2N2222 / BC547)</t>
  </si>
  <si>
    <t xml:space="preserve">Buzzer driver (only if 5V buzzer)</t>
  </si>
  <si>
    <t xml:space="preserve">Optional</t>
  </si>
  <si>
    <t xml:space="preserve">1k ohm resistor</t>
  </si>
  <si>
    <t xml:space="preserve">Transistor base (only if used)</t>
  </si>
  <si>
    <t xml:space="preserve">Confirm dose taken</t>
  </si>
  <si>
    <t xml:space="preserve">Breadboard</t>
  </si>
  <si>
    <t xml:space="preserve">Prototyping</t>
  </si>
  <si>
    <t xml:space="preserve">Jumper wires</t>
  </si>
  <si>
    <t xml:space="preserve">Assorted</t>
  </si>
  <si>
    <t xml:space="preserve">Connections</t>
  </si>
  <si>
    <t xml:space="preserve">External 5V supply (4xAA pack / charger / power bank)</t>
  </si>
  <si>
    <t xml:space="preserve">Servo power</t>
  </si>
  <si>
    <t xml:space="preserve">Separate from USB</t>
  </si>
  <si>
    <t xml:space="preserve">470 uF capacitor</t>
  </si>
  <si>
    <t xml:space="preserve">Servo supply smoothing</t>
  </si>
  <si>
    <t xml:space="preserve">Optional; add if board resets</t>
  </si>
  <si>
    <t xml:space="preserve">MedBox - Wiring Steps</t>
  </si>
  <si>
    <t xml:space="preserve">Set Status for each step using the dropdown.</t>
  </si>
  <si>
    <t xml:space="preserve">#</t>
  </si>
  <si>
    <t xml:space="preserve">Step</t>
  </si>
  <si>
    <t xml:space="preserve">What to do</t>
  </si>
  <si>
    <t xml:space="preserve">Status</t>
  </si>
  <si>
    <t xml:space="preserve">Find the pins</t>
  </si>
  <si>
    <t xml:space="preserve">Find GPIO12, GPIO2, GPIO16, GPIO4 on the 'ESP Pin's' header (labels on the back of the board). Use a GND pin on the power header for ground.</t>
  </si>
  <si>
    <t xml:space="preserve">Pending</t>
  </si>
  <si>
    <t xml:space="preserve">Set up the ground rail</t>
  </si>
  <si>
    <t xml:space="preserve">Jumper board GND to the breadboard blue (-) rail. Connect the external 5V supply negative to the same rail.</t>
  </si>
  <si>
    <t xml:space="preserve">Wire the servo</t>
  </si>
  <si>
    <t xml:space="preserve">Signal to GPIO12, red to external 5V +, brown to the ground rail. Never power the servo from 3.3V.</t>
  </si>
  <si>
    <t xml:space="preserve">Wire the LED</t>
  </si>
  <si>
    <t xml:space="preserve">GPIO2 to the 220 ohm resistor, resistor to LED long leg, short leg to the ground rail.</t>
  </si>
  <si>
    <t xml:space="preserve">Wire the buzzer</t>
  </si>
  <si>
    <t xml:space="preserve">3.3V active buzzer: + to GPIO16, - to ground rail. 5V buzzer: use the transistor circuit (see Wiring sheet).</t>
  </si>
  <si>
    <t xml:space="preserve">Wire the button</t>
  </si>
  <si>
    <t xml:space="preserve">One leg to GPIO4, other leg to the ground rail.</t>
  </si>
  <si>
    <t xml:space="preserve">Check before powering</t>
  </si>
  <si>
    <t xml:space="preserve">Make sure no red wire touches ground, and external 5V only goes to the servo (and buzzer if using the transistor).</t>
  </si>
  <si>
    <t xml:space="preserve">Steps done</t>
  </si>
  <si>
    <t xml:space="preserve">MedBox - Test Plan</t>
  </si>
  <si>
    <t xml:space="preserve">Record Pass/Fail as you go.</t>
  </si>
  <si>
    <t xml:space="preserve">Action</t>
  </si>
  <si>
    <t xml:space="preserve">Expected result</t>
  </si>
  <si>
    <t xml:space="preserve">Pass / Fail</t>
  </si>
  <si>
    <t xml:space="preserve">1</t>
  </si>
  <si>
    <t xml:space="preserve">Plug in USB, then connect the servo's external supply.</t>
  </si>
  <si>
    <t xml:space="preserve">Board boots, Serial Monitor shows IP address</t>
  </si>
  <si>
    <t xml:space="preserve">2</t>
  </si>
  <si>
    <t xml:space="preserve">Open the phone page and tap 'Test alert now'.</t>
  </si>
  <si>
    <t xml:space="preserve">LED and buzzer pulse</t>
  </si>
  <si>
    <t xml:space="preserve">3</t>
  </si>
  <si>
    <t xml:space="preserve">Press the button.</t>
  </si>
  <si>
    <t xml:space="preserve">Servo swings to 90 degrees and back, then one beep</t>
  </si>
  <si>
    <t xml:space="preserve">4</t>
  </si>
  <si>
    <t xml:space="preserve">Fit a lid/chute to the servo horn; adjust SERVO_OPEN and SERVO_CLOSED in code.</t>
  </si>
  <si>
    <t xml:space="preserve">Opens and closes fully without straining</t>
  </si>
  <si>
    <t xml:space="preserve">Troubleshooting</t>
  </si>
  <si>
    <t xml:space="preserve">Symptom</t>
  </si>
  <si>
    <t xml:space="preserve">Likely fix</t>
  </si>
  <si>
    <t xml:space="preserve">Servo twitches or board resets</t>
  </si>
  <si>
    <t xml:space="preserve">Power issue. Check common ground; add 470 uF capacitor across servo 5V and GND.</t>
  </si>
  <si>
    <t xml:space="preserve">Servo erratic</t>
  </si>
  <si>
    <t xml:space="preserve">Servo powered from 3.3V or no common ground. Use external 5V and share ground.</t>
  </si>
  <si>
    <t xml:space="preserve">Buzzer silent or weak</t>
  </si>
  <si>
    <t xml:space="preserve">Check buzzer voltage rating; use transistor circuit for a 5V buzzer.</t>
  </si>
  <si>
    <t xml:space="preserve">Button does nothing</t>
  </si>
  <si>
    <t xml:space="preserve">Confirm one leg on GPIO4, other on GND.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</si>
</sst>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7</v>
      </c>
      <c r="B6" s="4" t="s">
        <v>12</v>
      </c>
      <c r="C6" s="4" t="s">
        <v>13</v>
      </c>
      <c r="D6" s="4" t="s">
        <v>10</v>
      </c>
      <c r="E6" s="4" t="s">
        <v>14</v>
      </c>
    </row>
    <row r="7" customFormat="false" ht="15" hidden="false" customHeight="false" outlineLevel="0" collapsed="false">
      <c r="A7" s="4" t="s">
        <v>7</v>
      </c>
      <c r="B7" s="4" t="s">
        <v>15</v>
      </c>
      <c r="C7" s="4" t="s">
        <v>16</v>
      </c>
      <c r="D7" s="4" t="s">
        <v>10</v>
      </c>
      <c r="E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  <c r="E8" s="4"/>
    </row>
    <row r="9" customFormat="false" ht="15" hidden="false" customHeight="false" outlineLevel="0" collapsed="false">
      <c r="A9" s="4" t="s">
        <v>18</v>
      </c>
      <c r="B9" s="4" t="s">
        <v>22</v>
      </c>
      <c r="C9" s="4" t="s">
        <v>23</v>
      </c>
      <c r="D9" s="4" t="s">
        <v>10</v>
      </c>
      <c r="E9" s="4"/>
    </row>
    <row r="10" customFormat="false" ht="23.85" hidden="false" customHeight="false" outlineLevel="0" collapsed="false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</row>
    <row r="11" customFormat="false" ht="15" hidden="false" customHeight="false" outlineLevel="0" collapsed="false">
      <c r="A11" s="4" t="s">
        <v>24</v>
      </c>
      <c r="B11" s="4" t="s">
        <v>29</v>
      </c>
      <c r="C11" s="4" t="s">
        <v>23</v>
      </c>
      <c r="D11" s="4" t="s">
        <v>10</v>
      </c>
      <c r="E11" s="4"/>
    </row>
    <row r="12" customFormat="false" ht="15" hidden="false" customHeight="false" outlineLevel="0" collapsed="false">
      <c r="A12" s="4" t="s">
        <v>30</v>
      </c>
      <c r="B12" s="4" t="s">
        <v>31</v>
      </c>
      <c r="C12" s="4" t="s">
        <v>32</v>
      </c>
      <c r="D12" s="4" t="s">
        <v>10</v>
      </c>
      <c r="E12" s="4" t="s">
        <v>33</v>
      </c>
    </row>
    <row r="13" customFormat="false" ht="15" hidden="false" customHeight="false" outlineLevel="0" collapsed="false">
      <c r="A13" s="4" t="s">
        <v>30</v>
      </c>
      <c r="B13" s="4" t="s">
        <v>34</v>
      </c>
      <c r="C13" s="4" t="s">
        <v>23</v>
      </c>
      <c r="D13" s="4" t="s">
        <v>10</v>
      </c>
      <c r="E13" s="4"/>
    </row>
    <row r="15" customFormat="false" ht="15" hidden="false" customHeight="false" outlineLevel="0" collapsed="false">
      <c r="A15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4" min="3" style="0" width="3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6</v>
      </c>
      <c r="E4" s="3" t="s">
        <v>41</v>
      </c>
    </row>
    <row r="5" customFormat="false" ht="15" hidden="false" customHeight="false" outlineLevel="0" collapsed="false">
      <c r="A5" s="4" t="s">
        <v>42</v>
      </c>
      <c r="B5" s="4" t="n">
        <v>1</v>
      </c>
      <c r="C5" s="4" t="s">
        <v>43</v>
      </c>
      <c r="D5" s="4" t="s">
        <v>44</v>
      </c>
      <c r="E5" s="4"/>
    </row>
    <row r="6" customFormat="false" ht="15" hidden="false" customHeight="false" outlineLevel="0" collapsed="false">
      <c r="A6" s="4" t="s">
        <v>18</v>
      </c>
      <c r="B6" s="4" t="n">
        <v>1</v>
      </c>
      <c r="C6" s="4" t="s">
        <v>45</v>
      </c>
      <c r="D6" s="4"/>
      <c r="E6" s="4"/>
    </row>
    <row r="7" customFormat="false" ht="15" hidden="false" customHeight="false" outlineLevel="0" collapsed="false">
      <c r="A7" s="4" t="s">
        <v>46</v>
      </c>
      <c r="B7" s="4" t="n">
        <v>1</v>
      </c>
      <c r="C7" s="4" t="s">
        <v>47</v>
      </c>
      <c r="D7" s="4"/>
      <c r="E7" s="4"/>
    </row>
    <row r="8" customFormat="false" ht="15" hidden="false" customHeight="false" outlineLevel="0" collapsed="false">
      <c r="A8" s="4" t="s">
        <v>24</v>
      </c>
      <c r="B8" s="4" t="n">
        <v>1</v>
      </c>
      <c r="C8" s="4" t="s">
        <v>48</v>
      </c>
      <c r="D8" s="4" t="s">
        <v>49</v>
      </c>
      <c r="E8" s="4"/>
    </row>
    <row r="9" customFormat="false" ht="15" hidden="false" customHeight="false" outlineLevel="0" collapsed="false">
      <c r="A9" s="4" t="s">
        <v>50</v>
      </c>
      <c r="B9" s="4" t="n">
        <v>1</v>
      </c>
      <c r="C9" s="4" t="s">
        <v>51</v>
      </c>
      <c r="D9" s="4" t="s">
        <v>52</v>
      </c>
      <c r="E9" s="4"/>
    </row>
    <row r="10" customFormat="false" ht="15" hidden="false" customHeight="false" outlineLevel="0" collapsed="false">
      <c r="A10" s="4" t="s">
        <v>53</v>
      </c>
      <c r="B10" s="4" t="n">
        <v>1</v>
      </c>
      <c r="C10" s="4" t="s">
        <v>54</v>
      </c>
      <c r="D10" s="4" t="s">
        <v>52</v>
      </c>
      <c r="E10" s="4"/>
    </row>
    <row r="11" customFormat="false" ht="15" hidden="false" customHeight="false" outlineLevel="0" collapsed="false">
      <c r="A11" s="4" t="s">
        <v>30</v>
      </c>
      <c r="B11" s="4" t="n">
        <v>1</v>
      </c>
      <c r="C11" s="4" t="s">
        <v>55</v>
      </c>
      <c r="D11" s="4"/>
      <c r="E11" s="4"/>
    </row>
    <row r="12" customFormat="false" ht="15" hidden="false" customHeight="false" outlineLevel="0" collapsed="false">
      <c r="A12" s="4" t="s">
        <v>56</v>
      </c>
      <c r="B12" s="4" t="n">
        <v>1</v>
      </c>
      <c r="C12" s="4" t="s">
        <v>57</v>
      </c>
      <c r="D12" s="4"/>
      <c r="E12" s="4"/>
    </row>
    <row r="13" customFormat="false" ht="15" hidden="false" customHeight="false" outlineLevel="0" collapsed="false">
      <c r="A13" s="4" t="s">
        <v>58</v>
      </c>
      <c r="B13" s="4" t="s">
        <v>59</v>
      </c>
      <c r="C13" s="4" t="s">
        <v>60</v>
      </c>
      <c r="D13" s="4"/>
      <c r="E13" s="4"/>
    </row>
    <row r="14" customFormat="false" ht="15" hidden="false" customHeight="false" outlineLevel="0" collapsed="false">
      <c r="A14" s="4" t="s">
        <v>61</v>
      </c>
      <c r="B14" s="4" t="n">
        <v>1</v>
      </c>
      <c r="C14" s="4" t="s">
        <v>62</v>
      </c>
      <c r="D14" s="4" t="s">
        <v>63</v>
      </c>
      <c r="E14" s="4"/>
    </row>
    <row r="15" customFormat="false" ht="15" hidden="false" customHeight="false" outlineLevel="0" collapsed="false">
      <c r="A15" s="4" t="s">
        <v>64</v>
      </c>
      <c r="B15" s="4" t="n">
        <v>1</v>
      </c>
      <c r="C15" s="4" t="s">
        <v>65</v>
      </c>
      <c r="D15" s="4" t="s">
        <v>66</v>
      </c>
      <c r="E15" s="4"/>
    </row>
  </sheetData>
  <dataValidations count="1">
    <dataValidation allowBlank="true" errorStyle="stop" operator="between" showDropDown="false" showErrorMessage="false" showInputMessage="false" sqref="E5:E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9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72</v>
      </c>
    </row>
    <row r="5" customFormat="false" ht="23.85" hidden="false" customHeight="false" outlineLevel="0" collapsed="false">
      <c r="A5" s="4" t="n">
        <v>1</v>
      </c>
      <c r="B5" s="4" t="s">
        <v>73</v>
      </c>
      <c r="C5" s="4" t="s">
        <v>74</v>
      </c>
      <c r="D5" s="4" t="s">
        <v>75</v>
      </c>
    </row>
    <row r="6" customFormat="false" ht="15" hidden="false" customHeight="false" outlineLevel="0" collapsed="false">
      <c r="A6" s="4" t="n">
        <v>2</v>
      </c>
      <c r="B6" s="4" t="s">
        <v>76</v>
      </c>
      <c r="C6" s="4" t="s">
        <v>77</v>
      </c>
      <c r="D6" s="4" t="s">
        <v>75</v>
      </c>
    </row>
    <row r="7" customFormat="false" ht="15" hidden="false" customHeight="false" outlineLevel="0" collapsed="false">
      <c r="A7" s="4" t="n">
        <v>3</v>
      </c>
      <c r="B7" s="4" t="s">
        <v>78</v>
      </c>
      <c r="C7" s="4" t="s">
        <v>79</v>
      </c>
      <c r="D7" s="4" t="s">
        <v>75</v>
      </c>
    </row>
    <row r="8" customFormat="false" ht="15" hidden="false" customHeight="false" outlineLevel="0" collapsed="false">
      <c r="A8" s="4" t="n">
        <v>4</v>
      </c>
      <c r="B8" s="4" t="s">
        <v>80</v>
      </c>
      <c r="C8" s="4" t="s">
        <v>81</v>
      </c>
      <c r="D8" s="4" t="s">
        <v>75</v>
      </c>
    </row>
    <row r="9" customFormat="false" ht="15" hidden="false" customHeight="false" outlineLevel="0" collapsed="false">
      <c r="A9" s="4" t="n">
        <v>5</v>
      </c>
      <c r="B9" s="4" t="s">
        <v>82</v>
      </c>
      <c r="C9" s="4" t="s">
        <v>83</v>
      </c>
      <c r="D9" s="4" t="s">
        <v>75</v>
      </c>
    </row>
    <row r="10" customFormat="false" ht="15" hidden="false" customHeight="false" outlineLevel="0" collapsed="false">
      <c r="A10" s="4" t="n">
        <v>6</v>
      </c>
      <c r="B10" s="4" t="s">
        <v>84</v>
      </c>
      <c r="C10" s="4" t="s">
        <v>85</v>
      </c>
      <c r="D10" s="4" t="s">
        <v>75</v>
      </c>
    </row>
    <row r="11" customFormat="false" ht="23.85" hidden="false" customHeight="false" outlineLevel="0" collapsed="false">
      <c r="A11" s="4" t="n">
        <v>7</v>
      </c>
      <c r="B11" s="4" t="s">
        <v>86</v>
      </c>
      <c r="C11" s="4" t="s">
        <v>87</v>
      </c>
      <c r="D11" s="4" t="s">
        <v>75</v>
      </c>
    </row>
    <row r="13" customFormat="false" ht="15" hidden="false" customHeight="false" outlineLevel="0" collapsed="false">
      <c r="B13" s="5" t="s">
        <v>88</v>
      </c>
      <c r="C13" s="5" t="str">
        <f aca="false">COUNTIF(D5:D11,"Done")&amp;" of "&amp;COUNTA(D5:D11)</f>
        <v>0 of 7</v>
      </c>
    </row>
  </sheetData>
  <dataValidations count="1">
    <dataValidation allowBlank="false" errorStyle="stop" operator="between" showDropDown="false" showErrorMessage="false" showInputMessage="false" sqref="D5:D11" type="list">
      <formula1>"Pending,In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3" t="s">
        <v>69</v>
      </c>
      <c r="B4" s="3" t="s">
        <v>91</v>
      </c>
      <c r="C4" s="3" t="s">
        <v>92</v>
      </c>
      <c r="D4" s="3" t="s">
        <v>93</v>
      </c>
    </row>
    <row r="5" customFormat="false" ht="15" hidden="false" customHeight="false" outlineLevel="0" collapsed="false">
      <c r="A5" s="4" t="s">
        <v>94</v>
      </c>
      <c r="B5" s="4" t="s">
        <v>95</v>
      </c>
      <c r="C5" s="4" t="s">
        <v>96</v>
      </c>
      <c r="D5" s="4"/>
    </row>
    <row r="6" customFormat="false" ht="15" hidden="false" customHeight="false" outlineLevel="0" collapsed="false">
      <c r="A6" s="4" t="s">
        <v>97</v>
      </c>
      <c r="B6" s="4" t="s">
        <v>98</v>
      </c>
      <c r="C6" s="4" t="s">
        <v>99</v>
      </c>
      <c r="D6" s="4"/>
    </row>
    <row r="7" customFormat="false" ht="15" hidden="false" customHeight="false" outlineLevel="0" collapsed="false">
      <c r="A7" s="4" t="s">
        <v>100</v>
      </c>
      <c r="B7" s="4" t="s">
        <v>101</v>
      </c>
      <c r="C7" s="4" t="s">
        <v>102</v>
      </c>
      <c r="D7" s="4"/>
    </row>
    <row r="8" customFormat="false" ht="15" hidden="false" customHeight="false" outlineLevel="0" collapsed="false">
      <c r="A8" s="4" t="s">
        <v>103</v>
      </c>
      <c r="B8" s="4" t="s">
        <v>104</v>
      </c>
      <c r="C8" s="4" t="s">
        <v>105</v>
      </c>
      <c r="D8" s="4"/>
    </row>
    <row r="11" customFormat="false" ht="17.35" hidden="false" customHeight="false" outlineLevel="0" collapsed="false">
      <c r="A11" s="1" t="s">
        <v>106</v>
      </c>
    </row>
    <row r="12" customFormat="false" ht="15" hidden="false" customHeight="false" outlineLevel="0" collapsed="false">
      <c r="B12" s="6" t="s">
        <v>107</v>
      </c>
      <c r="C12" s="6" t="s">
        <v>108</v>
      </c>
    </row>
    <row r="13" customFormat="false" ht="23.85" hidden="false" customHeight="false" outlineLevel="0" collapsed="false">
      <c r="B13" s="4" t="s">
        <v>109</v>
      </c>
      <c r="C13" s="4" t="s">
        <v>110</v>
      </c>
    </row>
    <row r="14" customFormat="false" ht="23.85" hidden="false" customHeight="false" outlineLevel="0" collapsed="false">
      <c r="B14" s="4" t="s">
        <v>111</v>
      </c>
      <c r="C14" s="4" t="s">
        <v>112</v>
      </c>
    </row>
    <row r="15" customFormat="false" ht="23.85" hidden="false" customHeight="false" outlineLevel="0" collapsed="false">
      <c r="B15" s="4" t="s">
        <v>113</v>
      </c>
      <c r="C15" s="4" t="s">
        <v>114</v>
      </c>
    </row>
    <row r="16" customFormat="false" ht="15" hidden="false" customHeight="false" outlineLevel="0" collapsed="false">
      <c r="B16" s="4" t="s">
        <v>115</v>
      </c>
      <c r="C16" s="4" t="s">
        <v>116</v>
      </c>
    </row>
  </sheetData>
  <dataValidations count="1">
    <dataValidation allowBlank="true" errorStyle="stop" operator="between" showDropDown="false" showErrorMessage="false" showInputMessage="false" sqref="D5:D8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2026-10-14T07:22:57Z</dcterms:created>
  <dc:creator>openpyxl</dc:creator>
  <dc:description/>
  <dc:language>en-US</dc:language>
  <cp:lastModifiedBy/>
  <dcterms:modified xsi:type="dcterms:W3CDTF">2026-10-14T07:22:57Z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